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  <sheet name="Planilha2" sheetId="2" state="visible" r:id="rId4"/>
  </sheets>
  <definedNames>
    <definedName function="false" hidden="false" name="Aporte" vbProcedure="false">Planilha1!$D$15:$D$15</definedName>
    <definedName function="false" hidden="false" name="patrimonio" vbProcedure="false">Planilha1!$D$18</definedName>
    <definedName function="false" hidden="false" name="qtd_anos" vbProcedure="false">Planilha1!$D$16</definedName>
    <definedName function="false" hidden="false" name="Rendimento_carteira" vbProcedure="false">Planilha1!$D$11:$D$11</definedName>
    <definedName function="false" hidden="false" name="salario" vbProcedure="false">Planilha1!$D$10</definedName>
    <definedName function="false" hidden="false" name="sugestao_investimento" vbProcedure="false">Planilha1!$D$12</definedName>
    <definedName function="false" hidden="false" name="taxa_mensal" vbProcedure="false">Planilha1!$D$17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<sst xmlns="http://schemas.openxmlformats.org/spreadsheetml/2006/main" count="69" uniqueCount="35">
  <si>
    <t xml:space="preserve">CONFIGURAÇÕES</t>
  </si>
  <si>
    <t xml:space="preserve">Salário</t>
  </si>
  <si>
    <t xml:space="preserve">Rendimento Carteria</t>
  </si>
  <si>
    <t xml:space="preserve">Sugestão investimento</t>
  </si>
  <si>
    <t xml:space="preserve">INVESTIMENTO MENSAL</t>
  </si>
  <si>
    <t xml:space="preserve">Quanto investir mês</t>
  </si>
  <si>
    <t xml:space="preserve">Quantos anos</t>
  </si>
  <si>
    <t xml:space="preserve">Taxa de rendimento mensal</t>
  </si>
  <si>
    <t xml:space="preserve">Patrimônio Acumulado</t>
  </si>
  <si>
    <t xml:space="preserve">Dividendos Mensais</t>
  </si>
  <si>
    <t xml:space="preserve">Cenários</t>
  </si>
  <si>
    <t xml:space="preserve">Dividendo</t>
  </si>
  <si>
    <t xml:space="preserve">Quanto em 2 anos </t>
  </si>
  <si>
    <t xml:space="preserve">Quanto em 5 anos</t>
  </si>
  <si>
    <t xml:space="preserve">Quanto em 10 anos</t>
  </si>
  <si>
    <t xml:space="preserve">Quanto em 20 anos</t>
  </si>
  <si>
    <t xml:space="preserve">Quanto em 30 anos</t>
  </si>
  <si>
    <t xml:space="preserve">Perfil</t>
  </si>
  <si>
    <t xml:space="preserve">CONSERVADOR</t>
  </si>
  <si>
    <t xml:space="preserve">Valor a ser investido mês</t>
  </si>
  <si>
    <t xml:space="preserve">TIPOS DE FIIS</t>
  </si>
  <si>
    <t xml:space="preserve">Percentual Sugerido</t>
  </si>
  <si>
    <t xml:space="preserve">Valores</t>
  </si>
  <si>
    <t xml:space="preserve">PAPEL</t>
  </si>
  <si>
    <t xml:space="preserve">TIJOLO</t>
  </si>
  <si>
    <t xml:space="preserve">HÍBRIDOS</t>
  </si>
  <si>
    <t xml:space="preserve">FOF´S</t>
  </si>
  <si>
    <t xml:space="preserve">DESENVOLVIMENTO</t>
  </si>
  <si>
    <t xml:space="preserve">HOTELARIAS</t>
  </si>
  <si>
    <t xml:space="preserve">CHAVE</t>
  </si>
  <si>
    <t xml:space="preserve">PERFIL</t>
  </si>
  <si>
    <t xml:space="preserve">TIPO DE FII</t>
  </si>
  <si>
    <t xml:space="preserve">%</t>
  </si>
  <si>
    <t xml:space="preserve">MODERADO</t>
  </si>
  <si>
    <t xml:space="preserve">AGRESSIVO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</si>
</sst>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0.00%"/>
    <numFmt numFmtId="167" formatCode="&quot;R$ &quot;#,##0.00;[RED]&quot;-R$ &quot;#,##0.00"/>
    <numFmt numFmtId="168" formatCode="0%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000000"/>
      <name val="Calibri"/>
      <family val="2"/>
      <charset val="1"/>
    </font>
    <font>
      <b val="true"/>
      <sz val="20"/>
      <color rgb="FFFFFFFF"/>
      <name val="Calibri"/>
      <family val="2"/>
      <charset val="1"/>
    </font>
    <font>
      <sz val="20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4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9C5700"/>
      <name val="Calibri"/>
      <family val="0"/>
      <charset val="1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9000"/>
        <bgColor rgb="FFF79646"/>
      </patternFill>
    </fill>
    <fill>
      <patternFill patternType="solid">
        <fgColor rgb="FFF2F2F2"/>
        <bgColor rgb="FFFFFFFF"/>
      </patternFill>
    </fill>
    <fill>
      <patternFill patternType="solid">
        <fgColor rgb="FF548235"/>
        <bgColor rgb="FF339966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rgb="FFFFEB9C"/>
        <bgColor rgb="FFFFCC99"/>
      </patternFill>
    </fill>
    <fill>
      <patternFill patternType="solid">
        <fgColor rgb="FFBFBFBF"/>
        <bgColor rgb="FFD0CECE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>
        <color rgb="FFD9D9D9"/>
      </right>
      <top/>
      <bottom/>
      <diagonal/>
    </border>
    <border diagonalUp="false" diagonalDown="false">
      <left style="thin">
        <color rgb="FFD9D9D9"/>
      </left>
      <right style="medium"/>
      <top style="thin">
        <color rgb="FFD9D9D9"/>
      </top>
      <bottom style="thin">
        <color rgb="FFD9D9D9"/>
      </bottom>
      <diagonal/>
    </border>
    <border diagonalUp="false" diagonalDown="false">
      <left style="medium"/>
      <right style="thin">
        <color rgb="FFD9D9D9"/>
      </right>
      <top/>
      <bottom style="medium"/>
      <diagonal/>
    </border>
    <border diagonalUp="false" diagonalDown="false">
      <left style="thin">
        <color rgb="FFD9D9D9"/>
      </left>
      <right style="medium"/>
      <top style="thin">
        <color rgb="FFD9D9D9"/>
      </top>
      <bottom style="medium"/>
      <diagonal/>
    </border>
    <border diagonalUp="false" diagonalDown="false">
      <left style="medium"/>
      <right style="thin">
        <color rgb="FFD0CECE"/>
      </right>
      <top/>
      <bottom/>
      <diagonal/>
    </border>
    <border diagonalUp="false" diagonalDown="false">
      <left style="thin">
        <color rgb="FFD0CECE"/>
      </left>
      <right style="medium"/>
      <top style="thin">
        <color rgb="FFD0CECE"/>
      </top>
      <bottom style="thin">
        <color rgb="FFD0CECE"/>
      </bottom>
      <diagonal/>
    </border>
    <border diagonalUp="false" diagonalDown="false">
      <left/>
      <right/>
      <top/>
      <bottom style="thick">
        <color rgb="FFFFFFFF"/>
      </bottom>
      <diagonal/>
    </border>
    <border diagonalUp="false" diagonalDown="false">
      <left style="medium"/>
      <right style="thin">
        <color rgb="FFD0CECE"/>
      </right>
      <top/>
      <bottom style="medium"/>
      <diagonal/>
    </border>
    <border diagonalUp="false" diagonalDown="false">
      <left style="thin">
        <color rgb="FFD0CECE"/>
      </left>
      <right style="medium"/>
      <top style="thin">
        <color rgb="FFD0CECE"/>
      </top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medium"/>
      <top/>
      <bottom style="thin">
        <color rgb="FFFFFFFF"/>
      </bottom>
      <diagonal/>
    </border>
    <border diagonalUp="false" diagonalDown="false">
      <left style="medium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thin">
        <color rgb="FFFFFFFF"/>
      </right>
      <top style="thin">
        <color rgb="FFFFFFFF"/>
      </top>
      <bottom style="medium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medium"/>
      <diagonal/>
    </border>
    <border diagonalUp="false" diagonalDown="false">
      <left style="thin">
        <color rgb="FFFFFFFF"/>
      </left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5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5" fontId="0" fillId="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5" fontId="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6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7" fontId="7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7" fontId="7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3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7" fontId="0" fillId="3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6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7" fontId="0" fillId="3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8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7" fontId="0" fillId="3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4F81BD"/>
      <rgbColor rgb="FF9999FF"/>
      <rgbColor rgb="FFC0504D"/>
      <rgbColor rgb="FFF2F2F2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B9C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BF9000"/>
      <rgbColor rgb="FF8064A2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Planilha1!C33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FOF´S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447840</xdr:colOff>
      <xdr:row>0</xdr:row>
      <xdr:rowOff>85680</xdr:rowOff>
    </xdr:from>
    <xdr:to>
      <xdr:col>4</xdr:col>
      <xdr:colOff>58680</xdr:colOff>
      <xdr:row>6</xdr:row>
      <xdr:rowOff>162000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447840" y="85680"/>
          <a:ext cx="6266880" cy="126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</xdr:col>
      <xdr:colOff>2190240</xdr:colOff>
      <xdr:row>56</xdr:row>
      <xdr:rowOff>127800</xdr:rowOff>
    </xdr:to>
    <xdr:graphicFrame>
      <xdr:nvGraphicFramePr>
        <xdr:cNvPr id="1" name="Chart 1"/>
        <xdr:cNvGraphicFramePr/>
      </xdr:nvGraphicFramePr>
      <xdr:xfrm>
        <a:off x="483120" y="79437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E40"/>
  <sheetViews>
    <sheetView showFormulas="false" showGridLines="fals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3.5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1" width="40.43"/>
    <col collapsed="false" customWidth="true" hidden="false" outlineLevel="0" max="3" min="3" style="1" width="33.14"/>
    <col collapsed="false" customWidth="true" hidden="false" outlineLevel="0" max="4" min="4" style="1" width="14.01"/>
    <col collapsed="false" customWidth="true" hidden="false" outlineLevel="0" max="5" min="5" style="1" width="22.28"/>
  </cols>
  <sheetData>
    <row r="5" customFormat="false" ht="26.25" hidden="false" customHeight="true" outlineLevel="0" collapsed="false">
      <c r="B5" s="2"/>
      <c r="C5" s="2"/>
    </row>
    <row r="9" customFormat="false" ht="26.25" hidden="false" customHeight="true" outlineLevel="0" collapsed="false">
      <c r="B9" s="3" t="s">
        <v>0</v>
      </c>
      <c r="C9" s="3"/>
      <c r="D9" s="3"/>
    </row>
    <row r="10" customFormat="false" ht="13.5" hidden="false" customHeight="true" outlineLevel="0" collapsed="false">
      <c r="B10" s="4" t="s">
        <v>1</v>
      </c>
      <c r="C10" s="4"/>
      <c r="D10" s="5" t="n">
        <v>5000</v>
      </c>
    </row>
    <row r="11" customFormat="false" ht="13.5" hidden="false" customHeight="true" outlineLevel="0" collapsed="false">
      <c r="B11" s="4" t="s">
        <v>2</v>
      </c>
      <c r="C11" s="4"/>
      <c r="D11" s="6" t="n">
        <v>0.006</v>
      </c>
    </row>
    <row r="12" customFormat="false" ht="13.5" hidden="false" customHeight="true" outlineLevel="0" collapsed="false">
      <c r="B12" s="7" t="s">
        <v>3</v>
      </c>
      <c r="C12" s="7"/>
      <c r="D12" s="8" t="n">
        <f aca="false">D10*30%</f>
        <v>1500</v>
      </c>
    </row>
    <row r="14" customFormat="false" ht="39.75" hidden="false" customHeight="true" outlineLevel="0" collapsed="false">
      <c r="B14" s="9" t="s">
        <v>4</v>
      </c>
      <c r="C14" s="9"/>
      <c r="D14" s="9"/>
    </row>
    <row r="15" customFormat="false" ht="13.5" hidden="false" customHeight="true" outlineLevel="0" collapsed="false">
      <c r="B15" s="10" t="s">
        <v>5</v>
      </c>
      <c r="C15" s="10"/>
      <c r="D15" s="11" t="n">
        <v>500</v>
      </c>
    </row>
    <row r="16" customFormat="false" ht="13.5" hidden="false" customHeight="true" outlineLevel="0" collapsed="false">
      <c r="B16" s="10" t="s">
        <v>6</v>
      </c>
      <c r="C16" s="10"/>
      <c r="D16" s="12" t="n">
        <v>5</v>
      </c>
    </row>
    <row r="17" customFormat="false" ht="13.5" hidden="false" customHeight="true" outlineLevel="0" collapsed="false">
      <c r="B17" s="10" t="s">
        <v>7</v>
      </c>
      <c r="C17" s="10"/>
      <c r="D17" s="13" t="n">
        <v>0.0108</v>
      </c>
    </row>
    <row r="18" customFormat="false" ht="13.5" hidden="false" customHeight="true" outlineLevel="0" collapsed="false">
      <c r="B18" s="14" t="s">
        <v>8</v>
      </c>
      <c r="C18" s="14"/>
      <c r="D18" s="15" t="n">
        <f aca="false">FV(D17,D16*12,D15*-1)</f>
        <v>41902.0096796295</v>
      </c>
      <c r="E18" s="16"/>
    </row>
    <row r="19" customFormat="false" ht="13.5" hidden="false" customHeight="true" outlineLevel="0" collapsed="false">
      <c r="B19" s="17" t="s">
        <v>9</v>
      </c>
      <c r="C19" s="17"/>
      <c r="D19" s="18" t="n">
        <f aca="false">D18*D17</f>
        <v>452.541704539999</v>
      </c>
    </row>
    <row r="21" customFormat="false" ht="33.75" hidden="false" customHeight="true" outlineLevel="0" collapsed="false">
      <c r="B21" s="19" t="s">
        <v>10</v>
      </c>
      <c r="C21" s="19"/>
      <c r="D21" s="20" t="s">
        <v>11</v>
      </c>
    </row>
    <row r="22" customFormat="false" ht="13.5" hidden="false" customHeight="true" outlineLevel="0" collapsed="false">
      <c r="A22" s="21" t="n">
        <v>2</v>
      </c>
      <c r="B22" s="22" t="s">
        <v>12</v>
      </c>
      <c r="C22" s="23" t="n">
        <f aca="false">FV($D$17,$A22*12,$D$15*-1)</f>
        <v>13615.4318302909</v>
      </c>
      <c r="D22" s="24" t="n">
        <f aca="false">C22*$D$11</f>
        <v>81.6925909817452</v>
      </c>
    </row>
    <row r="23" customFormat="false" ht="13.5" hidden="false" customHeight="true" outlineLevel="0" collapsed="false">
      <c r="A23" s="21" t="n">
        <v>5</v>
      </c>
      <c r="B23" s="25" t="s">
        <v>13</v>
      </c>
      <c r="C23" s="26" t="n">
        <f aca="false">FV($D$17,$A23*12,$D$15*-1)</f>
        <v>41902.0096796295</v>
      </c>
      <c r="D23" s="24" t="n">
        <f aca="false">C23*$D$11</f>
        <v>251.412058077777</v>
      </c>
    </row>
    <row r="24" customFormat="false" ht="13.5" hidden="false" customHeight="true" outlineLevel="0" collapsed="false">
      <c r="A24" s="21" t="n">
        <v>10</v>
      </c>
      <c r="B24" s="25" t="s">
        <v>14</v>
      </c>
      <c r="C24" s="26" t="n">
        <f aca="false">FV($D$17,$A24*12,$D$15*-1)</f>
        <v>121728.833127401</v>
      </c>
      <c r="D24" s="24" t="n">
        <f aca="false">C24*$D$11</f>
        <v>730.372998764407</v>
      </c>
    </row>
    <row r="25" customFormat="false" ht="13.5" hidden="false" customHeight="true" outlineLevel="0" collapsed="false">
      <c r="A25" s="21" t="n">
        <v>20</v>
      </c>
      <c r="B25" s="25" t="s">
        <v>15</v>
      </c>
      <c r="C25" s="26" t="n">
        <f aca="false">FV($D$17,$A25*12,$D$15*-1)</f>
        <v>563524.496649269</v>
      </c>
      <c r="D25" s="24" t="n">
        <f aca="false">C25*$D$11</f>
        <v>3381.14697989562</v>
      </c>
    </row>
    <row r="26" customFormat="false" ht="13.5" hidden="false" customHeight="true" outlineLevel="0" collapsed="false">
      <c r="A26" s="21" t="n">
        <v>30</v>
      </c>
      <c r="B26" s="27" t="s">
        <v>16</v>
      </c>
      <c r="C26" s="28" t="n">
        <f aca="false">FV($D$17,$A26*12,$D$15*-1)</f>
        <v>2166952.40515842</v>
      </c>
      <c r="D26" s="29" t="n">
        <f aca="false">C26*$D$11</f>
        <v>13001.7144309505</v>
      </c>
    </row>
    <row r="30" customFormat="false" ht="13.5" hidden="false" customHeight="true" outlineLevel="0" collapsed="false">
      <c r="B30" s="30" t="s">
        <v>17</v>
      </c>
      <c r="C30" s="31" t="s">
        <v>18</v>
      </c>
      <c r="D30" s="32"/>
    </row>
    <row r="31" customFormat="false" ht="13.5" hidden="false" customHeight="true" outlineLevel="0" collapsed="false">
      <c r="B31" s="1" t="s">
        <v>19</v>
      </c>
      <c r="C31" s="33" t="n">
        <f aca="false">D15</f>
        <v>500</v>
      </c>
      <c r="D31" s="34"/>
    </row>
    <row r="33" customFormat="false" ht="13.5" hidden="false" customHeight="true" outlineLevel="0" collapsed="false">
      <c r="B33" s="35" t="s">
        <v>20</v>
      </c>
      <c r="C33" s="35" t="s">
        <v>21</v>
      </c>
      <c r="D33" s="35" t="s">
        <v>22</v>
      </c>
    </row>
    <row r="34" customFormat="false" ht="13.5" hidden="false" customHeight="true" outlineLevel="0" collapsed="false">
      <c r="B34" s="36" t="s">
        <v>23</v>
      </c>
      <c r="C34" s="37" t="n">
        <f aca="false">VLOOKUP($C$30&amp;"-"&amp;B34,Planilha2!$A:$D,4,FALSE())</f>
        <v>0.3</v>
      </c>
      <c r="D34" s="38" t="n">
        <f aca="false">C34*$C$31</f>
        <v>150</v>
      </c>
    </row>
    <row r="35" customFormat="false" ht="13.5" hidden="false" customHeight="true" outlineLevel="0" collapsed="false">
      <c r="B35" s="36" t="s">
        <v>24</v>
      </c>
      <c r="C35" s="37" t="n">
        <f aca="false">VLOOKUP($C$30&amp;"-"&amp;B35,Planilha2!$A:$D,4,FALSE())</f>
        <v>0.5</v>
      </c>
      <c r="D35" s="38" t="n">
        <f aca="false">C35*$C$31</f>
        <v>250</v>
      </c>
    </row>
    <row r="36" customFormat="false" ht="13.5" hidden="false" customHeight="true" outlineLevel="0" collapsed="false">
      <c r="B36" s="36" t="s">
        <v>25</v>
      </c>
      <c r="C36" s="37" t="n">
        <f aca="false">VLOOKUP($C$30&amp;"-"&amp;B36,Planilha2!$A:$D,4,FALSE())</f>
        <v>0.1</v>
      </c>
      <c r="D36" s="38" t="n">
        <f aca="false">C36*$C$31</f>
        <v>50</v>
      </c>
    </row>
    <row r="37" customFormat="false" ht="13.5" hidden="false" customHeight="true" outlineLevel="0" collapsed="false">
      <c r="B37" s="36" t="s">
        <v>26</v>
      </c>
      <c r="C37" s="37" t="n">
        <f aca="false">VLOOKUP($C$30&amp;"-"&amp;B37,Planilha2!$A:$D,4,FALSE())</f>
        <v>0.1</v>
      </c>
      <c r="D37" s="38" t="n">
        <f aca="false">C37*$C$31</f>
        <v>50</v>
      </c>
    </row>
    <row r="38" customFormat="false" ht="13.5" hidden="false" customHeight="true" outlineLevel="0" collapsed="false">
      <c r="B38" s="36" t="s">
        <v>27</v>
      </c>
      <c r="C38" s="37" t="n">
        <f aca="false">VLOOKUP($C$30&amp;"-"&amp;B38,Planilha2!$A:$D,4,FALSE())</f>
        <v>0</v>
      </c>
      <c r="D38" s="38" t="n">
        <f aca="false">C38*$C$31</f>
        <v>0</v>
      </c>
    </row>
    <row r="39" customFormat="false" ht="13.5" hidden="false" customHeight="true" outlineLevel="0" collapsed="false">
      <c r="B39" s="36" t="s">
        <v>28</v>
      </c>
      <c r="C39" s="37" t="n">
        <f aca="false">VLOOKUP($C$30&amp;"-"&amp;B39,Planilha2!$A:$D,4,FALSE())</f>
        <v>0</v>
      </c>
      <c r="D39" s="38" t="n">
        <f aca="false">C39*$C$31</f>
        <v>0</v>
      </c>
    </row>
    <row r="40" customFormat="false" ht="13.5" hidden="false" customHeight="true" outlineLevel="0" collapsed="false">
      <c r="B40" s="39"/>
      <c r="C40" s="39"/>
      <c r="D40" s="40" t="n">
        <f aca="false">SUM(D34:D39)</f>
        <v>500</v>
      </c>
    </row>
  </sheetData>
  <mergeCells count="11">
    <mergeCell ref="B9:D9"/>
    <mergeCell ref="B10:C10"/>
    <mergeCell ref="B11:C11"/>
    <mergeCell ref="B12:C12"/>
    <mergeCell ref="B14:D14"/>
    <mergeCell ref="B15:C15"/>
    <mergeCell ref="B16:C16"/>
    <mergeCell ref="B17:C17"/>
    <mergeCell ref="B18:C18"/>
    <mergeCell ref="B19:C19"/>
    <mergeCell ref="B21:C21"/>
  </mergeCells>
  <dataValidations count="1">
    <dataValidation allowBlank="true" errorStyle="stop" operator="between" showDropDown="false" showErrorMessage="true" showInputMessage="true" sqref="C30" type="list">
      <formula1>"CONSERVADOR,MODERADO,AGRESSIVO"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8"/>
  </cols>
  <sheetData>
    <row r="1" customFormat="false" ht="15" hidden="false" customHeight="false" outlineLevel="0" collapsed="false">
      <c r="A1" s="35" t="s">
        <v>29</v>
      </c>
      <c r="B1" s="35" t="s">
        <v>30</v>
      </c>
      <c r="C1" s="35" t="s">
        <v>31</v>
      </c>
      <c r="D1" s="35" t="s">
        <v>32</v>
      </c>
    </row>
    <row r="2" customFormat="false" ht="15" hidden="false" customHeight="false" outlineLevel="0" collapsed="false">
      <c r="A2" s="0" t="str">
        <f aca="false">B2&amp;"-"&amp;C2</f>
        <v>CONSERVADOR-PAPEL</v>
      </c>
      <c r="B2" s="0" t="s">
        <v>18</v>
      </c>
      <c r="C2" s="0" t="s">
        <v>23</v>
      </c>
      <c r="D2" s="41" t="n">
        <v>0.3</v>
      </c>
    </row>
    <row r="3" customFormat="false" ht="15" hidden="false" customHeight="false" outlineLevel="0" collapsed="false">
      <c r="A3" s="0" t="str">
        <f aca="false">B3&amp;"-"&amp;C3</f>
        <v>CONSERVADOR-TIJOLO</v>
      </c>
      <c r="B3" s="0" t="s">
        <v>18</v>
      </c>
      <c r="C3" s="0" t="s">
        <v>24</v>
      </c>
      <c r="D3" s="41" t="n">
        <v>0.5</v>
      </c>
    </row>
    <row r="4" customFormat="false" ht="15" hidden="false" customHeight="false" outlineLevel="0" collapsed="false">
      <c r="A4" s="0" t="str">
        <f aca="false">B4&amp;"-"&amp;C4</f>
        <v>CONSERVADOR-HÍBRIDOS</v>
      </c>
      <c r="B4" s="0" t="s">
        <v>18</v>
      </c>
      <c r="C4" s="0" t="s">
        <v>25</v>
      </c>
      <c r="D4" s="41" t="n">
        <v>0.1</v>
      </c>
    </row>
    <row r="5" customFormat="false" ht="15" hidden="false" customHeight="false" outlineLevel="0" collapsed="false">
      <c r="A5" s="0" t="str">
        <f aca="false">B5&amp;"-"&amp;C5</f>
        <v>CONSERVADOR-FOF´S</v>
      </c>
      <c r="B5" s="0" t="s">
        <v>18</v>
      </c>
      <c r="C5" s="0" t="s">
        <v>26</v>
      </c>
      <c r="D5" s="41" t="n">
        <v>0.1</v>
      </c>
    </row>
    <row r="6" customFormat="false" ht="15" hidden="false" customHeight="false" outlineLevel="0" collapsed="false">
      <c r="A6" s="0" t="str">
        <f aca="false">B6&amp;"-"&amp;C6</f>
        <v>CONSERVADOR-DESENVOLVIMENTO</v>
      </c>
      <c r="B6" s="0" t="s">
        <v>18</v>
      </c>
      <c r="C6" s="0" t="s">
        <v>27</v>
      </c>
      <c r="D6" s="41" t="n">
        <v>0</v>
      </c>
    </row>
    <row r="7" customFormat="false" ht="15" hidden="false" customHeight="false" outlineLevel="0" collapsed="false">
      <c r="A7" s="0" t="str">
        <f aca="false">B7&amp;"-"&amp;C7</f>
        <v>CONSERVADOR-HOTELARIAS</v>
      </c>
      <c r="B7" s="0" t="s">
        <v>18</v>
      </c>
      <c r="C7" s="0" t="s">
        <v>28</v>
      </c>
      <c r="D7" s="41" t="n">
        <v>0</v>
      </c>
    </row>
    <row r="8" customFormat="false" ht="15" hidden="false" customHeight="false" outlineLevel="0" collapsed="false">
      <c r="A8" s="0" t="str">
        <f aca="false">B8&amp;"-"&amp;C8</f>
        <v>MODERADO-PAPEL</v>
      </c>
      <c r="B8" s="0" t="s">
        <v>33</v>
      </c>
      <c r="C8" s="0" t="s">
        <v>23</v>
      </c>
      <c r="D8" s="41" t="n">
        <v>0.32</v>
      </c>
    </row>
    <row r="9" customFormat="false" ht="15" hidden="false" customHeight="false" outlineLevel="0" collapsed="false">
      <c r="A9" s="0" t="str">
        <f aca="false">B9&amp;"-"&amp;C9</f>
        <v>MODERADO-TIJOLO</v>
      </c>
      <c r="B9" s="0" t="s">
        <v>33</v>
      </c>
      <c r="C9" s="0" t="s">
        <v>24</v>
      </c>
      <c r="D9" s="41" t="n">
        <v>0.35</v>
      </c>
    </row>
    <row r="10" customFormat="false" ht="15" hidden="false" customHeight="false" outlineLevel="0" collapsed="false">
      <c r="A10" s="0" t="str">
        <f aca="false">B10&amp;"-"&amp;C10</f>
        <v>MODERADO-HÍBRIDOS</v>
      </c>
      <c r="B10" s="0" t="s">
        <v>33</v>
      </c>
      <c r="C10" s="0" t="s">
        <v>25</v>
      </c>
      <c r="D10" s="41" t="n">
        <v>0.08</v>
      </c>
    </row>
    <row r="11" customFormat="false" ht="15" hidden="false" customHeight="false" outlineLevel="0" collapsed="false">
      <c r="A11" s="0" t="str">
        <f aca="false">B11&amp;"-"&amp;C11</f>
        <v>MODERADO-FOF´S</v>
      </c>
      <c r="B11" s="0" t="s">
        <v>33</v>
      </c>
      <c r="C11" s="0" t="s">
        <v>26</v>
      </c>
      <c r="D11" s="41" t="n">
        <v>0.05</v>
      </c>
    </row>
    <row r="12" customFormat="false" ht="15" hidden="false" customHeight="false" outlineLevel="0" collapsed="false">
      <c r="A12" s="0" t="str">
        <f aca="false">B12&amp;"-"&amp;C12</f>
        <v>MODERADO-DESENVOLVIMENTO</v>
      </c>
      <c r="B12" s="0" t="s">
        <v>33</v>
      </c>
      <c r="C12" s="0" t="s">
        <v>27</v>
      </c>
      <c r="D12" s="41" t="n">
        <v>0.1</v>
      </c>
    </row>
    <row r="13" customFormat="false" ht="15" hidden="false" customHeight="false" outlineLevel="0" collapsed="false">
      <c r="A13" s="0" t="str">
        <f aca="false">B13&amp;"-"&amp;C13</f>
        <v>MODERADO-HOTELARIAS</v>
      </c>
      <c r="B13" s="0" t="s">
        <v>33</v>
      </c>
      <c r="C13" s="0" t="s">
        <v>28</v>
      </c>
      <c r="D13" s="41" t="n">
        <v>0.1</v>
      </c>
    </row>
    <row r="14" customFormat="false" ht="15" hidden="false" customHeight="false" outlineLevel="0" collapsed="false">
      <c r="A14" s="0" t="str">
        <f aca="false">B14&amp;"-"&amp;C14</f>
        <v>AGRESSIVO-PAPEL</v>
      </c>
      <c r="B14" s="0" t="s">
        <v>34</v>
      </c>
      <c r="C14" s="0" t="s">
        <v>23</v>
      </c>
      <c r="D14" s="41" t="n">
        <v>0.5</v>
      </c>
    </row>
    <row r="15" customFormat="false" ht="15" hidden="false" customHeight="false" outlineLevel="0" collapsed="false">
      <c r="A15" s="0" t="str">
        <f aca="false">B15&amp;"-"&amp;C15</f>
        <v>AGRESSIVO-TIJOLO</v>
      </c>
      <c r="B15" s="0" t="s">
        <v>34</v>
      </c>
      <c r="C15" s="0" t="s">
        <v>24</v>
      </c>
      <c r="D15" s="41" t="n">
        <v>0.1</v>
      </c>
    </row>
    <row r="16" customFormat="false" ht="15" hidden="false" customHeight="false" outlineLevel="0" collapsed="false">
      <c r="A16" s="0" t="str">
        <f aca="false">B16&amp;"-"&amp;C16</f>
        <v>AGRESSIVO-HÍBRIDOS</v>
      </c>
      <c r="B16" s="0" t="s">
        <v>34</v>
      </c>
      <c r="C16" s="0" t="s">
        <v>25</v>
      </c>
      <c r="D16" s="41" t="n">
        <v>0.05</v>
      </c>
    </row>
    <row r="17" customFormat="false" ht="15" hidden="false" customHeight="false" outlineLevel="0" collapsed="false">
      <c r="A17" s="0" t="str">
        <f aca="false">B17&amp;"-"&amp;C17</f>
        <v>AGRESSIVO-FOF´S</v>
      </c>
      <c r="B17" s="0" t="s">
        <v>34</v>
      </c>
      <c r="C17" s="0" t="s">
        <v>26</v>
      </c>
      <c r="D17" s="41" t="n">
        <v>0.05</v>
      </c>
    </row>
    <row r="18" customFormat="false" ht="15" hidden="false" customHeight="false" outlineLevel="0" collapsed="false">
      <c r="A18" s="0" t="str">
        <f aca="false">B18&amp;"-"&amp;C18</f>
        <v>AGRESSIVO-DESENVOLVIMENTO</v>
      </c>
      <c r="B18" s="0" t="s">
        <v>34</v>
      </c>
      <c r="C18" s="0" t="s">
        <v>27</v>
      </c>
      <c r="D18" s="41" t="n">
        <v>0.2</v>
      </c>
    </row>
    <row r="19" customFormat="false" ht="15" hidden="false" customHeight="false" outlineLevel="0" collapsed="false">
      <c r="A19" s="0" t="str">
        <f aca="false">B19&amp;"-"&amp;C19</f>
        <v>AGRESSIVO-HOTELARIAS</v>
      </c>
      <c r="B19" s="0" t="s">
        <v>34</v>
      </c>
      <c r="C19" s="0" t="s">
        <v>28</v>
      </c>
      <c r="D19" s="41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2026-10-08T14:57:13Z</dcterms:created>
  <dc:creator/>
  <dc:description/>
  <dc:language>pt-BR</dc:language>
  <cp:lastModifiedBy/>
  <dcterms:modified xsi:type="dcterms:W3CDTF">2026-10-09T16:13:53Z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